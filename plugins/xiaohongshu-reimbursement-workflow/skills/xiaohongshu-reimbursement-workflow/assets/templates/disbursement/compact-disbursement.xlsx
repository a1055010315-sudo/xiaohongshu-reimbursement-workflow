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放核对表" sheetId="1" state="visible" r:id="rId1"/>
  </sheets>
  <definedNames>
    <definedName name="_xlnm._FilterDatabase" localSheetId="0" hidden="1">'发放核对表'!$A$16:$K$46</definedName>
    <definedName name="_xlnm.Print_Titles" localSheetId="0">'发放核对表'!$16:$16</definedName>
    <definedName name="_xlnm.Print_Area" localSheetId="0">'发放核对表'!$A$1:$K$47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FangSong"/>
      <b val="1"/>
      <color rgb="FF000000"/>
      <sz val="20"/>
    </font>
    <font>
      <name val="FangSong"/>
      <b val="1"/>
      <color rgb="FF000000"/>
      <sz val="14"/>
    </font>
    <font>
      <name val="FangSong"/>
      <color rgb="FF6B7280"/>
      <sz val="11"/>
    </font>
    <font>
      <name val="FangSong"/>
      <color rgb="FF263238"/>
      <sz val="12"/>
    </font>
    <font>
      <name val="FangSong"/>
      <b val="1"/>
      <color rgb="FF263238"/>
      <sz val="12"/>
    </font>
    <font>
      <name val="Microsoft YaHei"/>
      <color rgb="00263238"/>
      <sz val="10"/>
    </font>
    <font>
      <name val="Microsoft YaHei"/>
      <b val="1"/>
      <color rgb="00FFFFFF"/>
      <sz val="18"/>
    </font>
    <font>
      <name val="Microsoft YaHei"/>
      <color rgb="00607080"/>
      <sz val="10"/>
    </font>
    <font>
      <name val="Microsoft YaHei"/>
      <b val="1"/>
      <color rgb="00385723"/>
      <sz val="10"/>
    </font>
    <font>
      <name val="Carlito"/>
      <b val="1"/>
      <color rgb="00385723"/>
      <sz val="11"/>
    </font>
    <font>
      <name val="Carlito"/>
      <b val="1"/>
      <color rgb="00FFFFFF"/>
      <sz val="11"/>
    </font>
    <font>
      <name val="Carlito"/>
      <b val="1"/>
      <color rgb="001F4E78"/>
      <sz val="11"/>
    </font>
  </fonts>
  <fills count="1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E822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00FFFFFF"/>
      </patternFill>
    </fill>
    <fill>
      <patternFill patternType="solid">
        <fgColor rgb="00567D27"/>
      </patternFill>
    </fill>
    <fill>
      <patternFill patternType="solid">
        <fgColor rgb="00EEF5E8"/>
      </patternFill>
    </fill>
    <fill>
      <patternFill patternType="solid">
        <fgColor rgb="00E2F0D9"/>
      </patternFill>
    </fill>
    <fill>
      <patternFill patternType="solid">
        <fgColor rgb="006B8E23"/>
      </patternFill>
    </fill>
    <fill>
      <patternFill patternType="solid">
        <fgColor rgb="00E3B333"/>
      </patternFill>
    </fill>
    <fill>
      <patternFill patternType="solid">
        <fgColor rgb="00FFFCF4"/>
      </patternFill>
    </fill>
    <fill>
      <patternFill patternType="solid">
        <fgColor rgb="00DDEBF7"/>
      </patternFill>
    </fill>
  </fills>
  <borders count="19">
    <border>
      <left/>
      <right/>
      <top/>
      <bottom/>
      <diagonal/>
    </border>
    <border>
      <bottom style="thin">
        <color rgb="FF000000"/>
      </bottom>
    </border>
    <border>
      <left style="thin">
        <color rgb="FFD7DDE0"/>
      </left>
      <right style="thin">
        <color rgb="FFD7DDE0"/>
      </right>
      <top style="thin">
        <color rgb="FFD7DDE0"/>
      </top>
      <bottom style="thin">
        <color rgb="FFD7DDE0"/>
      </bottom>
    </border>
    <border>
      <left style="thin">
        <color rgb="FFB45F22"/>
      </left>
      <right style="thin">
        <color rgb="FFB45F22"/>
      </right>
      <top style="thin">
        <color rgb="FFB45F22"/>
      </top>
      <bottom style="thin">
        <color rgb="FFB45F22"/>
      </bottom>
    </border>
    <border>
      <left/>
      <right/>
      <top style="thin">
        <color rgb="FFD7DDE0"/>
      </top>
      <bottom/>
      <diagonal/>
    </border>
    <border>
      <left/>
      <right style="thin">
        <color rgb="FFD7DDE0"/>
      </right>
      <top style="thin">
        <color rgb="FFD7DDE0"/>
      </top>
      <bottom/>
      <diagonal/>
    </border>
    <border>
      <left/>
      <right/>
      <top style="thin">
        <color rgb="FFD7DDE0"/>
      </top>
      <bottom style="thin">
        <color rgb="FFD7DDE0"/>
      </bottom>
      <diagonal/>
    </border>
    <border>
      <left/>
      <right style="thin">
        <color rgb="FFD7DDE0"/>
      </right>
      <top style="thin">
        <color rgb="FFD7DDE0"/>
      </top>
      <bottom style="thin">
        <color rgb="FFD7DDE0"/>
      </bottom>
      <diagonal/>
    </border>
    <border>
      <left/>
      <right/>
      <top style="thin">
        <color rgb="FFB45F22"/>
      </top>
      <bottom/>
      <diagonal/>
    </border>
    <border>
      <left/>
      <right style="thin">
        <color rgb="FFB45F22"/>
      </right>
      <top style="thin">
        <color rgb="FFB45F22"/>
      </top>
      <bottom/>
      <diagonal/>
    </border>
    <border>
      <left/>
      <right/>
      <top style="thin">
        <color rgb="FFB45F22"/>
      </top>
      <bottom style="thin">
        <color rgb="FFB45F22"/>
      </bottom>
      <diagonal/>
    </border>
    <border>
      <left/>
      <right style="thin">
        <color rgb="FFB45F22"/>
      </right>
      <top style="thin">
        <color rgb="FFB45F22"/>
      </top>
      <bottom style="thin">
        <color rgb="FFB45F22"/>
      </bottom>
      <diagonal/>
    </border>
    <border>
      <left/>
      <right/>
      <top/>
      <bottom style="thin">
        <color rgb="FF000000"/>
      </bottom>
      <diagonal/>
    </border>
    <border>
      <right/>
      <bottom style="thin">
        <color rgb="FF000000"/>
      </bottom>
    </border>
    <border/>
    <border>
      <left style="thin">
        <color rgb="00C6D5B4"/>
      </left>
      <right style="thin">
        <color rgb="00C6D5B4"/>
      </right>
      <top style="thin">
        <color rgb="00C6D5B4"/>
      </top>
      <bottom style="thin">
        <color rgb="00C6D5B4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C89B19"/>
      </left>
      <right style="thin">
        <color rgb="00C89B19"/>
      </right>
      <top style="thin">
        <color rgb="00C89B19"/>
      </top>
      <bottom style="thin">
        <color rgb="00C89B19"/>
      </bottom>
    </border>
    <border>
      <left style="thin">
        <color rgb="00E0E6E8"/>
      </left>
      <right style="thin">
        <color rgb="00E0E6E8"/>
      </right>
      <top style="thin">
        <color rgb="00E0E6E8"/>
      </top>
      <bottom style="thin">
        <color rgb="00E0E6E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right" vertical="center"/>
    </xf>
    <xf numFmtId="2" fontId="4" fillId="5" borderId="2" applyAlignment="1" pivotButton="0" quotePrefix="0" xfId="0">
      <alignment horizontal="right" vertical="center"/>
    </xf>
    <xf numFmtId="2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2" fontId="5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0" pivotButton="0" quotePrefix="0" xfId="0"/>
    <xf numFmtId="0" fontId="7" fillId="8" borderId="14" applyAlignment="1" pivotButton="0" quotePrefix="0" xfId="0">
      <alignment horizontal="center" vertical="center" wrapText="1"/>
    </xf>
    <xf numFmtId="0" fontId="9" fillId="9" borderId="14" applyAlignment="1" pivotButton="0" quotePrefix="0" xfId="0">
      <alignment horizontal="center" vertical="center" wrapText="1"/>
    </xf>
    <xf numFmtId="0" fontId="8" fillId="9" borderId="14" applyAlignment="1" pivotButton="0" quotePrefix="0" xfId="0">
      <alignment horizontal="center" vertical="center" wrapText="1"/>
    </xf>
    <xf numFmtId="0" fontId="10" fillId="10" borderId="15" applyAlignment="1" pivotButton="0" quotePrefix="0" xfId="0">
      <alignment horizontal="left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2" borderId="17" applyAlignment="1" pivotButton="0" quotePrefix="0" xfId="0">
      <alignment horizontal="center" vertical="center" wrapText="1"/>
    </xf>
    <xf numFmtId="0" fontId="6" fillId="7" borderId="18" applyAlignment="1" pivotButton="0" quotePrefix="0" xfId="0">
      <alignment horizontal="left" vertical="center" wrapText="1"/>
    </xf>
    <xf numFmtId="0" fontId="6" fillId="7" borderId="18" applyAlignment="1" pivotButton="0" quotePrefix="0" xfId="0">
      <alignment horizontal="right" vertical="center"/>
    </xf>
    <xf numFmtId="0" fontId="6" fillId="7" borderId="18" applyAlignment="1" pivotButton="0" quotePrefix="0" xfId="0">
      <alignment horizontal="center" vertical="center" wrapText="1"/>
    </xf>
    <xf numFmtId="0" fontId="6" fillId="13" borderId="18" applyAlignment="1" pivotButton="0" quotePrefix="0" xfId="0">
      <alignment horizontal="left" vertical="center" wrapText="1"/>
    </xf>
    <xf numFmtId="0" fontId="12" fillId="14" borderId="15" applyAlignment="1" pivotButton="0" quotePrefix="0" xfId="0">
      <alignment horizontal="left" vertical="center" wrapText="1"/>
    </xf>
    <xf numFmtId="0" fontId="12" fillId="14" borderId="15" applyAlignment="1" pivotButton="0" quotePrefix="0" xfId="0">
      <alignment horizontal="right" vertical="center"/>
    </xf>
    <xf numFmtId="0" fontId="12" fillId="14" borderId="15" applyAlignment="1" pivotButton="0" quotePrefix="0" xfId="0">
      <alignment horizontal="center" vertical="center" wrapText="1"/>
    </xf>
    <xf numFmtId="0" fontId="6" fillId="7" borderId="14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ill>
        <patternFill patternType="solid">
          <fgColor rgb="FFF4CC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AF7"/>
        </patternFill>
      </fill>
    </dxf>
    <dxf>
      <font>
        <name val="Microsoft YaHei"/>
        <color rgb="007F4125"/>
        <sz val="10"/>
      </font>
      <fill>
        <patternFill patternType="solid">
          <fgColor rgb="00FCE4D6"/>
        </patternFill>
      </fill>
    </dxf>
    <dxf>
      <font>
        <name val="Microsoft YaHei"/>
        <color rgb="007F6000"/>
        <sz val="10"/>
      </font>
      <fill>
        <patternFill patternType="solid">
          <fgColor rgb="00FFF2CC"/>
        </patternFill>
      </fill>
    </dxf>
    <dxf>
      <font>
        <name val="Microsoft YaHei"/>
        <color rgb="00385723"/>
        <sz val="10"/>
      </font>
      <fill>
        <patternFill patternType="solid">
          <fgColor rgb="00E2F0D9"/>
        </patternFill>
      </fill>
    </dxf>
    <dxf>
      <font>
        <name val="Microsoft YaHei"/>
        <i val="1"/>
        <color rgb="005F6B73"/>
        <sz val="10"/>
      </font>
      <fill>
        <patternFill patternType="solid">
          <fgColor rgb="00F2F2F2"/>
        </patternFill>
      </fill>
    </dxf>
    <dxf>
      <font>
        <name val="Microsoft YaHei"/>
        <color rgb="001F4E78"/>
        <sz val="10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showGridLines="0" zoomScale="85" zoomScaleNormal="10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2" customWidth="1" min="9" max="9"/>
    <col width="16" customWidth="1" min="10" max="10"/>
    <col width="32" customWidth="1" min="11" max="11"/>
  </cols>
  <sheetData>
    <row r="1" ht="32" customHeight="1">
      <c r="A1" s="21" t="inlineStr">
        <is>
          <t>发放核对表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 ht="16.5" customHeight="1">
      <c r="A2" s="22" t="inlineStr">
        <is>
          <t>核对期间</t>
        </is>
      </c>
      <c r="B2" s="23" t="inlineStr">
        <is>
          <t>&lt;填写&gt;</t>
        </is>
      </c>
      <c r="C2" s="23" t="n"/>
      <c r="D2" s="23" t="n"/>
      <c r="E2" s="22" t="inlineStr">
        <is>
          <t>制表日期</t>
        </is>
      </c>
      <c r="F2" s="23" t="inlineStr">
        <is>
          <t>&lt;YYYY年M月D日&gt;</t>
        </is>
      </c>
      <c r="G2" s="23" t="n"/>
      <c r="H2" s="22" t="inlineStr">
        <is>
          <t>批次/事项</t>
        </is>
      </c>
      <c r="I2" s="23" t="inlineStr">
        <is>
          <t>&lt;填写&gt;</t>
        </is>
      </c>
      <c r="J2" s="23" t="n"/>
      <c r="K2" s="23" t="n"/>
    </row>
    <row r="3" ht="24" customHeight="1">
      <c r="A3" s="24" t="inlineStr">
        <is>
          <t>资金来源（逐笔登记）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26" customHeight="1">
      <c r="A4" s="25" t="inlineStr">
        <is>
          <t>资金来源</t>
        </is>
      </c>
      <c r="B4" s="25" t="n"/>
      <c r="C4" s="25" t="inlineStr">
        <is>
          <t>应到/金额</t>
        </is>
      </c>
      <c r="D4" s="25" t="inlineStr">
        <is>
          <t>实际到账</t>
        </is>
      </c>
      <c r="E4" s="25" t="inlineStr">
        <is>
          <t>差额</t>
        </is>
      </c>
      <c r="F4" s="25" t="inlineStr">
        <is>
          <t>方式</t>
        </is>
      </c>
      <c r="G4" s="25" t="inlineStr">
        <is>
          <t>状态</t>
        </is>
      </c>
      <c r="H4" s="25" t="n"/>
      <c r="I4" s="26" t="inlineStr">
        <is>
          <t>凭证/备注</t>
        </is>
      </c>
      <c r="J4" s="26" t="n"/>
      <c r="K4" s="26" t="n"/>
    </row>
    <row r="5" ht="24" customHeight="1">
      <c r="A5" s="27" t="n"/>
      <c r="B5" s="27" t="n"/>
      <c r="C5" s="28" t="n"/>
      <c r="D5" s="28" t="n"/>
      <c r="E5" s="28">
        <f>IF(COUNTA(A5:D5)=0,"",IF(OR(C5="",D5=""),"",ROUND(D5-C5,3)))</f>
        <v/>
      </c>
      <c r="F5" s="29" t="n"/>
      <c r="G5" s="29" t="n"/>
      <c r="H5" s="29" t="n"/>
      <c r="I5" s="30" t="n"/>
      <c r="J5" s="30" t="n"/>
      <c r="K5" s="30" t="n"/>
    </row>
    <row r="6" ht="24" customHeight="1">
      <c r="A6" s="27" t="n"/>
      <c r="B6" s="27" t="n"/>
      <c r="C6" s="28" t="n"/>
      <c r="D6" s="28" t="n"/>
      <c r="E6" s="28">
        <f>IF(COUNTA(A6:D6)=0,"",IF(OR(C6="",D6=""),"",ROUND(D6-C6,3)))</f>
        <v/>
      </c>
      <c r="F6" s="29" t="n"/>
      <c r="G6" s="29" t="n"/>
      <c r="H6" s="29" t="n"/>
      <c r="I6" s="30" t="n"/>
      <c r="J6" s="30" t="n"/>
      <c r="K6" s="30" t="n"/>
    </row>
    <row r="7" ht="24" customHeight="1">
      <c r="A7" s="27" t="n"/>
      <c r="B7" s="27" t="n"/>
      <c r="C7" s="28" t="n"/>
      <c r="D7" s="28" t="n"/>
      <c r="E7" s="28">
        <f>IF(COUNTA(A7:D7)=0,"",IF(OR(C7="",D7=""),"",ROUND(D7-C7,3)))</f>
        <v/>
      </c>
      <c r="F7" s="29" t="n"/>
      <c r="G7" s="29" t="n"/>
      <c r="H7" s="29" t="n"/>
      <c r="I7" s="30" t="n"/>
      <c r="J7" s="30" t="n"/>
      <c r="K7" s="30" t="n"/>
    </row>
    <row r="8" ht="24" customHeight="1">
      <c r="A8" s="27" t="n"/>
      <c r="B8" s="27" t="n"/>
      <c r="C8" s="28" t="n"/>
      <c r="D8" s="28" t="n"/>
      <c r="E8" s="28">
        <f>IF(COUNTA(A8:D8)=0,"",IF(OR(C8="",D8=""),"",ROUND(D8-C8,3)))</f>
        <v/>
      </c>
      <c r="F8" s="29" t="n"/>
      <c r="G8" s="29" t="n"/>
      <c r="H8" s="29" t="n"/>
      <c r="I8" s="30" t="n"/>
      <c r="J8" s="30" t="n"/>
      <c r="K8" s="30" t="n"/>
    </row>
    <row r="9" ht="24" customHeight="1">
      <c r="A9" s="27" t="n"/>
      <c r="B9" s="27" t="n"/>
      <c r="C9" s="28" t="n"/>
      <c r="D9" s="28" t="n"/>
      <c r="E9" s="28">
        <f>IF(COUNTA(A9:D9)=0,"",IF(OR(C9="",D9=""),"",ROUND(D9-C9,3)))</f>
        <v/>
      </c>
      <c r="F9" s="29" t="n"/>
      <c r="G9" s="29" t="n"/>
      <c r="H9" s="29" t="n"/>
      <c r="I9" s="30" t="n"/>
      <c r="J9" s="30" t="n"/>
      <c r="K9" s="30" t="n"/>
    </row>
    <row r="10" ht="24" customHeight="1">
      <c r="A10" s="27" t="n"/>
      <c r="B10" s="27" t="n"/>
      <c r="C10" s="28" t="n"/>
      <c r="D10" s="28" t="n"/>
      <c r="E10" s="28">
        <f>IF(COUNTA(A10:D10)=0,"",IF(OR(C10="",D10=""),"",ROUND(D10-C10,3)))</f>
        <v/>
      </c>
      <c r="F10" s="29" t="n"/>
      <c r="G10" s="29" t="n"/>
      <c r="H10" s="29" t="n"/>
      <c r="I10" s="30" t="n"/>
      <c r="J10" s="30" t="n"/>
      <c r="K10" s="30" t="n"/>
    </row>
    <row r="11" ht="24" customHeight="1">
      <c r="A11" s="27" t="n"/>
      <c r="B11" s="27" t="n"/>
      <c r="C11" s="28" t="n"/>
      <c r="D11" s="28" t="n"/>
      <c r="E11" s="28">
        <f>IF(COUNTA(A11:D11)=0,"",IF(OR(C11="",D11=""),"",ROUND(D11-C11,3)))</f>
        <v/>
      </c>
      <c r="F11" s="29" t="n"/>
      <c r="G11" s="29" t="n"/>
      <c r="H11" s="29" t="n"/>
      <c r="I11" s="30" t="n"/>
      <c r="J11" s="30" t="n"/>
      <c r="K11" s="30" t="n"/>
    </row>
    <row r="12" ht="24" customHeight="1">
      <c r="A12" s="27" t="n"/>
      <c r="B12" s="27" t="n"/>
      <c r="C12" s="28" t="n"/>
      <c r="D12" s="28" t="n"/>
      <c r="E12" s="28">
        <f>IF(COUNTA(A12:D12)=0,"",IF(OR(C12="",D12=""),"",ROUND(D12-C12,3)))</f>
        <v/>
      </c>
      <c r="F12" s="29" t="n"/>
      <c r="G12" s="29" t="n"/>
      <c r="H12" s="29" t="n"/>
      <c r="I12" s="30" t="n"/>
      <c r="J12" s="30" t="n"/>
      <c r="K12" s="30" t="n"/>
    </row>
    <row r="13" ht="28" customHeight="1">
      <c r="A13" s="31" t="inlineStr">
        <is>
          <t>合计</t>
        </is>
      </c>
      <c r="B13" s="31" t="n"/>
      <c r="C13" s="32">
        <f>ROUND(SUM(C5:C12),3)</f>
        <v/>
      </c>
      <c r="D13" s="32">
        <f>IF(COUNT(D5:D12)=0,"",ROUND(SUM(D5:D12),3))</f>
        <v/>
      </c>
      <c r="E13" s="32">
        <f>IF(D13="","",ROUND(D13-C13,3))</f>
        <v/>
      </c>
      <c r="F13" s="33" t="n"/>
      <c r="G13" s="33">
        <f>IF(COUNTA(A5:A12)=0,"","已登记 "&amp;COUNTA(A5:A12)&amp;" 笔")</f>
        <v/>
      </c>
      <c r="H13" s="33" t="n"/>
      <c r="I13" s="31">
        <f>IF(COUNTA(C5:D12)=0,"","资金差额："&amp;TEXT(E13,"0.000")&amp;"；与人员应发差："&amp;TEXT(ROUND(C13-G47,3),"0.000"))</f>
        <v/>
      </c>
      <c r="J13" s="31" t="n"/>
      <c r="K13" s="31" t="n"/>
    </row>
    <row r="14" ht="8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</row>
    <row r="15" ht="24" customHeight="1">
      <c r="A15" s="24" t="inlineStr">
        <is>
          <t>人员发放（按姓名/事项登记）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6" ht="26" customHeight="1">
      <c r="A16" s="25" t="inlineStr">
        <is>
          <t>姓名/事项</t>
        </is>
      </c>
      <c r="B16" s="25" t="inlineStr">
        <is>
          <t>小红书报销</t>
        </is>
      </c>
      <c r="C16" s="25" t="inlineStr">
        <is>
          <t>公司报销</t>
        </is>
      </c>
      <c r="D16" s="25" t="inlineStr">
        <is>
          <t>驻所报销</t>
        </is>
      </c>
      <c r="E16" s="25" t="inlineStr">
        <is>
          <t>工资类别</t>
        </is>
      </c>
      <c r="F16" s="25" t="inlineStr">
        <is>
          <t>工资</t>
        </is>
      </c>
      <c r="G16" s="25" t="inlineStr">
        <is>
          <t>应发合计</t>
        </is>
      </c>
      <c r="H16" s="25" t="inlineStr">
        <is>
          <t>实际发放</t>
        </is>
      </c>
      <c r="I16" s="25" t="inlineStr">
        <is>
          <t>方式</t>
        </is>
      </c>
      <c r="J16" s="25" t="inlineStr">
        <is>
          <t>状态</t>
        </is>
      </c>
      <c r="K16" s="26" t="inlineStr">
        <is>
          <t>凭证/备注</t>
        </is>
      </c>
    </row>
    <row r="17" ht="24" customHeight="1">
      <c r="A17" s="27" t="n"/>
      <c r="B17" s="28" t="n"/>
      <c r="C17" s="28" t="n"/>
      <c r="D17" s="28" t="n"/>
      <c r="E17" s="29" t="n"/>
      <c r="F17" s="28" t="n"/>
      <c r="G17" s="28">
        <f>IF(COUNTA(A17:F17)=0,"",ROUND(SUM(B17:D17,F17),3))</f>
        <v/>
      </c>
      <c r="H17" s="28" t="n"/>
      <c r="I17" s="29" t="n"/>
      <c r="J17" s="29" t="n"/>
      <c r="K17" s="30" t="n"/>
    </row>
    <row r="18" ht="24" customHeight="1">
      <c r="A18" s="27" t="n"/>
      <c r="B18" s="28" t="n"/>
      <c r="C18" s="28" t="n"/>
      <c r="D18" s="28" t="n"/>
      <c r="E18" s="29" t="n"/>
      <c r="F18" s="28" t="n"/>
      <c r="G18" s="28">
        <f>IF(COUNTA(A18:F18)=0,"",ROUND(SUM(B18:D18,F18),3))</f>
        <v/>
      </c>
      <c r="H18" s="28" t="n"/>
      <c r="I18" s="29" t="n"/>
      <c r="J18" s="29" t="n"/>
      <c r="K18" s="30" t="n"/>
    </row>
    <row r="19" ht="24" customHeight="1">
      <c r="A19" s="27" t="n"/>
      <c r="B19" s="28" t="n"/>
      <c r="C19" s="28" t="n"/>
      <c r="D19" s="28" t="n"/>
      <c r="E19" s="29" t="n"/>
      <c r="F19" s="28" t="n"/>
      <c r="G19" s="28">
        <f>IF(COUNTA(A19:F19)=0,"",ROUND(SUM(B19:D19,F19),3))</f>
        <v/>
      </c>
      <c r="H19" s="28" t="n"/>
      <c r="I19" s="29" t="n"/>
      <c r="J19" s="29" t="n"/>
      <c r="K19" s="30" t="n"/>
    </row>
    <row r="20" ht="24" customHeight="1">
      <c r="A20" s="27" t="n"/>
      <c r="B20" s="28" t="n"/>
      <c r="C20" s="28" t="n"/>
      <c r="D20" s="28" t="n"/>
      <c r="E20" s="29" t="n"/>
      <c r="F20" s="28" t="n"/>
      <c r="G20" s="28">
        <f>IF(COUNTA(A20:F20)=0,"",ROUND(SUM(B20:D20,F20),3))</f>
        <v/>
      </c>
      <c r="H20" s="28" t="n"/>
      <c r="I20" s="29" t="n"/>
      <c r="J20" s="29" t="n"/>
      <c r="K20" s="30" t="n"/>
    </row>
    <row r="21" ht="24" customHeight="1">
      <c r="A21" s="27" t="n"/>
      <c r="B21" s="28" t="n"/>
      <c r="C21" s="28" t="n"/>
      <c r="D21" s="28" t="n"/>
      <c r="E21" s="29" t="n"/>
      <c r="F21" s="28" t="n"/>
      <c r="G21" s="28">
        <f>IF(COUNTA(A21:F21)=0,"",ROUND(SUM(B21:D21,F21),3))</f>
        <v/>
      </c>
      <c r="H21" s="28" t="n"/>
      <c r="I21" s="29" t="n"/>
      <c r="J21" s="29" t="n"/>
      <c r="K21" s="30" t="n"/>
    </row>
    <row r="22" ht="24" customHeight="1">
      <c r="A22" s="27" t="n"/>
      <c r="B22" s="28" t="n"/>
      <c r="C22" s="28" t="n"/>
      <c r="D22" s="28" t="n"/>
      <c r="E22" s="29" t="n"/>
      <c r="F22" s="28" t="n"/>
      <c r="G22" s="28">
        <f>IF(COUNTA(A22:F22)=0,"",ROUND(SUM(B22:D22,F22),3))</f>
        <v/>
      </c>
      <c r="H22" s="28" t="n"/>
      <c r="I22" s="29" t="n"/>
      <c r="J22" s="29" t="n"/>
      <c r="K22" s="30" t="n"/>
    </row>
    <row r="23" ht="24" customHeight="1">
      <c r="A23" s="27" t="n"/>
      <c r="B23" s="28" t="n"/>
      <c r="C23" s="28" t="n"/>
      <c r="D23" s="28" t="n"/>
      <c r="E23" s="29" t="n"/>
      <c r="F23" s="28" t="n"/>
      <c r="G23" s="28">
        <f>IF(COUNTA(A23:F23)=0,"",ROUND(SUM(B23:D23,F23),3))</f>
        <v/>
      </c>
      <c r="H23" s="28" t="n"/>
      <c r="I23" s="29" t="n"/>
      <c r="J23" s="29" t="n"/>
      <c r="K23" s="30" t="n"/>
    </row>
    <row r="24" ht="24" customHeight="1">
      <c r="A24" s="27" t="n"/>
      <c r="B24" s="28" t="n"/>
      <c r="C24" s="28" t="n"/>
      <c r="D24" s="28" t="n"/>
      <c r="E24" s="29" t="n"/>
      <c r="F24" s="28" t="n"/>
      <c r="G24" s="28">
        <f>IF(COUNTA(A24:F24)=0,"",ROUND(SUM(B24:D24,F24),3))</f>
        <v/>
      </c>
      <c r="H24" s="28" t="n"/>
      <c r="I24" s="29" t="n"/>
      <c r="J24" s="29" t="n"/>
      <c r="K24" s="30" t="n"/>
    </row>
    <row r="25" ht="24" customHeight="1">
      <c r="A25" s="27" t="n"/>
      <c r="B25" s="28" t="n"/>
      <c r="C25" s="28" t="n"/>
      <c r="D25" s="28" t="n"/>
      <c r="E25" s="29" t="n"/>
      <c r="F25" s="28" t="n"/>
      <c r="G25" s="28">
        <f>IF(COUNTA(A25:F25)=0,"",ROUND(SUM(B25:D25,F25),3))</f>
        <v/>
      </c>
      <c r="H25" s="28" t="n"/>
      <c r="I25" s="29" t="n"/>
      <c r="J25" s="29" t="n"/>
      <c r="K25" s="30" t="n"/>
    </row>
    <row r="26" ht="24" customHeight="1">
      <c r="A26" s="27" t="n"/>
      <c r="B26" s="28" t="n"/>
      <c r="C26" s="28" t="n"/>
      <c r="D26" s="28" t="n"/>
      <c r="E26" s="29" t="n"/>
      <c r="F26" s="28" t="n"/>
      <c r="G26" s="28">
        <f>IF(COUNTA(A26:F26)=0,"",ROUND(SUM(B26:D26,F26),3))</f>
        <v/>
      </c>
      <c r="H26" s="28" t="n"/>
      <c r="I26" s="29" t="n"/>
      <c r="J26" s="29" t="n"/>
      <c r="K26" s="30" t="n"/>
    </row>
    <row r="27" ht="24" customHeight="1">
      <c r="A27" s="27" t="n"/>
      <c r="B27" s="28" t="n"/>
      <c r="C27" s="28" t="n"/>
      <c r="D27" s="28" t="n"/>
      <c r="E27" s="29" t="n"/>
      <c r="F27" s="28" t="n"/>
      <c r="G27" s="28">
        <f>IF(COUNTA(A27:F27)=0,"",ROUND(SUM(B27:D27,F27),3))</f>
        <v/>
      </c>
      <c r="H27" s="28" t="n"/>
      <c r="I27" s="29" t="n"/>
      <c r="J27" s="29" t="n"/>
      <c r="K27" s="30" t="n"/>
    </row>
    <row r="28" ht="24" customHeight="1">
      <c r="A28" s="27" t="n"/>
      <c r="B28" s="28" t="n"/>
      <c r="C28" s="28" t="n"/>
      <c r="D28" s="28" t="n"/>
      <c r="E28" s="29" t="n"/>
      <c r="F28" s="28" t="n"/>
      <c r="G28" s="28">
        <f>IF(COUNTA(A28:F28)=0,"",ROUND(SUM(B28:D28,F28),3))</f>
        <v/>
      </c>
      <c r="H28" s="28" t="n"/>
      <c r="I28" s="29" t="n"/>
      <c r="J28" s="29" t="n"/>
      <c r="K28" s="30" t="n"/>
    </row>
    <row r="29" ht="24" customHeight="1">
      <c r="A29" s="27" t="n"/>
      <c r="B29" s="28" t="n"/>
      <c r="C29" s="28" t="n"/>
      <c r="D29" s="28" t="n"/>
      <c r="E29" s="29" t="n"/>
      <c r="F29" s="28" t="n"/>
      <c r="G29" s="28">
        <f>IF(COUNTA(A29:F29)=0,"",ROUND(SUM(B29:D29,F29),3))</f>
        <v/>
      </c>
      <c r="H29" s="28" t="n"/>
      <c r="I29" s="29" t="n"/>
      <c r="J29" s="29" t="n"/>
      <c r="K29" s="30" t="n"/>
    </row>
    <row r="30" ht="24" customHeight="1">
      <c r="A30" s="27" t="n"/>
      <c r="B30" s="28" t="n"/>
      <c r="C30" s="28" t="n"/>
      <c r="D30" s="28" t="n"/>
      <c r="E30" s="29" t="n"/>
      <c r="F30" s="28" t="n"/>
      <c r="G30" s="28">
        <f>IF(COUNTA(A30:F30)=0,"",ROUND(SUM(B30:D30,F30),3))</f>
        <v/>
      </c>
      <c r="H30" s="28" t="n"/>
      <c r="I30" s="29" t="n"/>
      <c r="J30" s="29" t="n"/>
      <c r="K30" s="30" t="n"/>
    </row>
    <row r="31" ht="24" customHeight="1">
      <c r="A31" s="27" t="n"/>
      <c r="B31" s="28" t="n"/>
      <c r="C31" s="28" t="n"/>
      <c r="D31" s="28" t="n"/>
      <c r="E31" s="29" t="n"/>
      <c r="F31" s="28" t="n"/>
      <c r="G31" s="28">
        <f>IF(COUNTA(A31:F31)=0,"",ROUND(SUM(B31:D31,F31),3))</f>
        <v/>
      </c>
      <c r="H31" s="28" t="n"/>
      <c r="I31" s="29" t="n"/>
      <c r="J31" s="29" t="n"/>
      <c r="K31" s="30" t="n"/>
    </row>
    <row r="32" ht="24" customHeight="1">
      <c r="A32" s="27" t="n"/>
      <c r="B32" s="28" t="n"/>
      <c r="C32" s="28" t="n"/>
      <c r="D32" s="28" t="n"/>
      <c r="E32" s="29" t="n"/>
      <c r="F32" s="28" t="n"/>
      <c r="G32" s="28">
        <f>IF(COUNTA(A32:F32)=0,"",ROUND(SUM(B32:D32,F32),3))</f>
        <v/>
      </c>
      <c r="H32" s="28" t="n"/>
      <c r="I32" s="29" t="n"/>
      <c r="J32" s="29" t="n"/>
      <c r="K32" s="30" t="n"/>
    </row>
    <row r="33" ht="24" customHeight="1">
      <c r="A33" s="27" t="n"/>
      <c r="B33" s="28" t="n"/>
      <c r="C33" s="28" t="n"/>
      <c r="D33" s="28" t="n"/>
      <c r="E33" s="29" t="n"/>
      <c r="F33" s="28" t="n"/>
      <c r="G33" s="28">
        <f>IF(COUNTA(A33:F33)=0,"",ROUND(SUM(B33:D33,F33),3))</f>
        <v/>
      </c>
      <c r="H33" s="28" t="n"/>
      <c r="I33" s="29" t="n"/>
      <c r="J33" s="29" t="n"/>
      <c r="K33" s="30" t="n"/>
    </row>
    <row r="34" ht="24" customHeight="1">
      <c r="A34" s="27" t="n"/>
      <c r="B34" s="28" t="n"/>
      <c r="C34" s="28" t="n"/>
      <c r="D34" s="28" t="n"/>
      <c r="E34" s="29" t="n"/>
      <c r="F34" s="28" t="n"/>
      <c r="G34" s="28">
        <f>IF(COUNTA(A34:F34)=0,"",ROUND(SUM(B34:D34,F34),3))</f>
        <v/>
      </c>
      <c r="H34" s="28" t="n"/>
      <c r="I34" s="29" t="n"/>
      <c r="J34" s="29" t="n"/>
      <c r="K34" s="30" t="n"/>
    </row>
    <row r="35" ht="24" customHeight="1">
      <c r="A35" s="27" t="n"/>
      <c r="B35" s="28" t="n"/>
      <c r="C35" s="28" t="n"/>
      <c r="D35" s="28" t="n"/>
      <c r="E35" s="29" t="n"/>
      <c r="F35" s="28" t="n"/>
      <c r="G35" s="28">
        <f>IF(COUNTA(A35:F35)=0,"",ROUND(SUM(B35:D35,F35),3))</f>
        <v/>
      </c>
      <c r="H35" s="28" t="n"/>
      <c r="I35" s="29" t="n"/>
      <c r="J35" s="29" t="n"/>
      <c r="K35" s="30" t="n"/>
    </row>
    <row r="36" ht="24" customHeight="1">
      <c r="A36" s="27" t="n"/>
      <c r="B36" s="28" t="n"/>
      <c r="C36" s="28" t="n"/>
      <c r="D36" s="28" t="n"/>
      <c r="E36" s="29" t="n"/>
      <c r="F36" s="28" t="n"/>
      <c r="G36" s="28">
        <f>IF(COUNTA(A36:F36)=0,"",ROUND(SUM(B36:D36,F36),3))</f>
        <v/>
      </c>
      <c r="H36" s="28" t="n"/>
      <c r="I36" s="29" t="n"/>
      <c r="J36" s="29" t="n"/>
      <c r="K36" s="30" t="n"/>
    </row>
    <row r="37" ht="24" customHeight="1">
      <c r="A37" s="27" t="n"/>
      <c r="B37" s="28" t="n"/>
      <c r="C37" s="28" t="n"/>
      <c r="D37" s="28" t="n"/>
      <c r="E37" s="29" t="n"/>
      <c r="F37" s="28" t="n"/>
      <c r="G37" s="28">
        <f>IF(COUNTA(A37:F37)=0,"",ROUND(SUM(B37:D37,F37),3))</f>
        <v/>
      </c>
      <c r="H37" s="28" t="n"/>
      <c r="I37" s="29" t="n"/>
      <c r="J37" s="29" t="n"/>
      <c r="K37" s="30" t="n"/>
    </row>
    <row r="38" ht="24" customHeight="1">
      <c r="A38" s="27" t="n"/>
      <c r="B38" s="28" t="n"/>
      <c r="C38" s="28" t="n"/>
      <c r="D38" s="28" t="n"/>
      <c r="E38" s="29" t="n"/>
      <c r="F38" s="28" t="n"/>
      <c r="G38" s="28">
        <f>IF(COUNTA(A38:F38)=0,"",ROUND(SUM(B38:D38,F38),3))</f>
        <v/>
      </c>
      <c r="H38" s="28" t="n"/>
      <c r="I38" s="29" t="n"/>
      <c r="J38" s="29" t="n"/>
      <c r="K38" s="30" t="n"/>
    </row>
    <row r="39" ht="24" customHeight="1">
      <c r="A39" s="27" t="n"/>
      <c r="B39" s="28" t="n"/>
      <c r="C39" s="28" t="n"/>
      <c r="D39" s="28" t="n"/>
      <c r="E39" s="29" t="n"/>
      <c r="F39" s="28" t="n"/>
      <c r="G39" s="28">
        <f>IF(COUNTA(A39:F39)=0,"",ROUND(SUM(B39:D39,F39),3))</f>
        <v/>
      </c>
      <c r="H39" s="28" t="n"/>
      <c r="I39" s="29" t="n"/>
      <c r="J39" s="29" t="n"/>
      <c r="K39" s="30" t="n"/>
    </row>
    <row r="40" ht="24" customHeight="1">
      <c r="A40" s="27" t="n"/>
      <c r="B40" s="28" t="n"/>
      <c r="C40" s="28" t="n"/>
      <c r="D40" s="28" t="n"/>
      <c r="E40" s="29" t="n"/>
      <c r="F40" s="28" t="n"/>
      <c r="G40" s="28">
        <f>IF(COUNTA(A40:F40)=0,"",ROUND(SUM(B40:D40,F40),3))</f>
        <v/>
      </c>
      <c r="H40" s="28" t="n"/>
      <c r="I40" s="29" t="n"/>
      <c r="J40" s="29" t="n"/>
      <c r="K40" s="30" t="n"/>
    </row>
    <row r="41" ht="24" customHeight="1">
      <c r="A41" s="27" t="n"/>
      <c r="B41" s="28" t="n"/>
      <c r="C41" s="28" t="n"/>
      <c r="D41" s="28" t="n"/>
      <c r="E41" s="29" t="n"/>
      <c r="F41" s="28" t="n"/>
      <c r="G41" s="28">
        <f>IF(COUNTA(A41:F41)=0,"",ROUND(SUM(B41:D41,F41),3))</f>
        <v/>
      </c>
      <c r="H41" s="28" t="n"/>
      <c r="I41" s="29" t="n"/>
      <c r="J41" s="29" t="n"/>
      <c r="K41" s="30" t="n"/>
    </row>
    <row r="42" ht="24" customHeight="1">
      <c r="A42" s="27" t="n"/>
      <c r="B42" s="28" t="n"/>
      <c r="C42" s="28" t="n"/>
      <c r="D42" s="28" t="n"/>
      <c r="E42" s="29" t="n"/>
      <c r="F42" s="28" t="n"/>
      <c r="G42" s="28">
        <f>IF(COUNTA(A42:F42)=0,"",ROUND(SUM(B42:D42,F42),3))</f>
        <v/>
      </c>
      <c r="H42" s="28" t="n"/>
      <c r="I42" s="29" t="n"/>
      <c r="J42" s="29" t="n"/>
      <c r="K42" s="30" t="n"/>
    </row>
    <row r="43" ht="24" customHeight="1">
      <c r="A43" s="27" t="n"/>
      <c r="B43" s="28" t="n"/>
      <c r="C43" s="28" t="n"/>
      <c r="D43" s="28" t="n"/>
      <c r="E43" s="29" t="n"/>
      <c r="F43" s="28" t="n"/>
      <c r="G43" s="28">
        <f>IF(COUNTA(A43:F43)=0,"",ROUND(SUM(B43:D43,F43),3))</f>
        <v/>
      </c>
      <c r="H43" s="28" t="n"/>
      <c r="I43" s="29" t="n"/>
      <c r="J43" s="29" t="n"/>
      <c r="K43" s="30" t="n"/>
    </row>
    <row r="44" ht="24" customHeight="1">
      <c r="A44" s="27" t="n"/>
      <c r="B44" s="28" t="n"/>
      <c r="C44" s="28" t="n"/>
      <c r="D44" s="28" t="n"/>
      <c r="E44" s="29" t="n"/>
      <c r="F44" s="28" t="n"/>
      <c r="G44" s="28">
        <f>IF(COUNTA(A44:F44)=0,"",ROUND(SUM(B44:D44,F44),3))</f>
        <v/>
      </c>
      <c r="H44" s="28" t="n"/>
      <c r="I44" s="29" t="n"/>
      <c r="J44" s="29" t="n"/>
      <c r="K44" s="30" t="n"/>
    </row>
    <row r="45" ht="24" customHeight="1">
      <c r="A45" s="27" t="n"/>
      <c r="B45" s="28" t="n"/>
      <c r="C45" s="28" t="n"/>
      <c r="D45" s="28" t="n"/>
      <c r="E45" s="29" t="n"/>
      <c r="F45" s="28" t="n"/>
      <c r="G45" s="28">
        <f>IF(COUNTA(A45:F45)=0,"",ROUND(SUM(B45:D45,F45),3))</f>
        <v/>
      </c>
      <c r="H45" s="28" t="n"/>
      <c r="I45" s="29" t="n"/>
      <c r="J45" s="29" t="n"/>
      <c r="K45" s="30" t="n"/>
    </row>
    <row r="46" ht="24" customHeight="1">
      <c r="A46" s="27" t="n"/>
      <c r="B46" s="28" t="n"/>
      <c r="C46" s="28" t="n"/>
      <c r="D46" s="28" t="n"/>
      <c r="E46" s="29" t="n"/>
      <c r="F46" s="28" t="n"/>
      <c r="G46" s="28">
        <f>IF(COUNTA(A46:F46)=0,"",ROUND(SUM(B46:D46,F46),3))</f>
        <v/>
      </c>
      <c r="H46" s="28" t="n"/>
      <c r="I46" s="29" t="n"/>
      <c r="J46" s="29" t="n"/>
      <c r="K46" s="30" t="n"/>
    </row>
    <row r="47" ht="28" customHeight="1">
      <c r="A47" s="31" t="inlineStr">
        <is>
          <t>合计</t>
        </is>
      </c>
      <c r="B47" s="32">
        <f>ROUND(SUM(B17:B46),3)</f>
        <v/>
      </c>
      <c r="C47" s="32">
        <f>ROUND(SUM(C17:C46),3)</f>
        <v/>
      </c>
      <c r="D47" s="32">
        <f>ROUND(SUM(D17:D46),3)</f>
        <v/>
      </c>
      <c r="E47" s="33" t="n"/>
      <c r="F47" s="32">
        <f>ROUND(SUM(F17:F46),3)</f>
        <v/>
      </c>
      <c r="G47" s="32">
        <f>ROUND(SUM(G17:G46),3)</f>
        <v/>
      </c>
      <c r="H47" s="32">
        <f>IF(COUNT(H17:H46)=0,"",ROUND(SUM(H17:H46),3))</f>
        <v/>
      </c>
      <c r="I47" s="33" t="n"/>
      <c r="J47" s="33" t="n"/>
      <c r="K47" s="31">
        <f>IF(H47="","","发放差额："&amp;TEXT(ROUND(H47-G47,3),"0.000"))</f>
        <v/>
      </c>
    </row>
  </sheetData>
  <autoFilter ref="A16:K46"/>
  <mergeCells count="79">
    <mergeCell ref="D12"/>
    <mergeCell ref="D9"/>
    <mergeCell ref="A15:K15"/>
    <mergeCell ref="F9"/>
    <mergeCell ref="C7"/>
    <mergeCell ref="E7"/>
    <mergeCell ref="A7:B7"/>
    <mergeCell ref="I8:K8"/>
    <mergeCell ref="I10:K10"/>
    <mergeCell ref="F12"/>
    <mergeCell ref="C9"/>
    <mergeCell ref="E9"/>
    <mergeCell ref="I2:K2"/>
    <mergeCell ref="E6"/>
    <mergeCell ref="C11"/>
    <mergeCell ref="E11"/>
    <mergeCell ref="A9:B9"/>
    <mergeCell ref="G12:H12"/>
    <mergeCell ref="A11:B11"/>
    <mergeCell ref="I12:K12"/>
    <mergeCell ref="D5"/>
    <mergeCell ref="C13"/>
    <mergeCell ref="G7:H7"/>
    <mergeCell ref="F11"/>
    <mergeCell ref="I4:K4"/>
    <mergeCell ref="E8"/>
    <mergeCell ref="C10"/>
    <mergeCell ref="E10"/>
    <mergeCell ref="A8:B8"/>
    <mergeCell ref="D7"/>
    <mergeCell ref="A10:B10"/>
    <mergeCell ref="A2"/>
    <mergeCell ref="E2"/>
    <mergeCell ref="G9:H9"/>
    <mergeCell ref="F13"/>
    <mergeCell ref="G11:H11"/>
    <mergeCell ref="D8"/>
    <mergeCell ref="A1:K1"/>
    <mergeCell ref="E12"/>
    <mergeCell ref="I5:K5"/>
    <mergeCell ref="C6"/>
    <mergeCell ref="G13:H13"/>
    <mergeCell ref="F6"/>
    <mergeCell ref="A12:B12"/>
    <mergeCell ref="F2:G2"/>
    <mergeCell ref="C4"/>
    <mergeCell ref="I13:K13"/>
    <mergeCell ref="E4"/>
    <mergeCell ref="A5:B5"/>
    <mergeCell ref="D6"/>
    <mergeCell ref="D11"/>
    <mergeCell ref="D13"/>
    <mergeCell ref="A4:B4"/>
    <mergeCell ref="I7:K7"/>
    <mergeCell ref="D4"/>
    <mergeCell ref="C8"/>
    <mergeCell ref="G8:H8"/>
    <mergeCell ref="A6:B6"/>
    <mergeCell ref="F4"/>
    <mergeCell ref="G10:H10"/>
    <mergeCell ref="D10"/>
    <mergeCell ref="G6:H6"/>
    <mergeCell ref="F10"/>
    <mergeCell ref="C5"/>
    <mergeCell ref="E5"/>
    <mergeCell ref="F7"/>
    <mergeCell ref="A3:K3"/>
    <mergeCell ref="I9:K9"/>
    <mergeCell ref="G5:H5"/>
    <mergeCell ref="F5"/>
    <mergeCell ref="E13"/>
    <mergeCell ref="I6:K6"/>
    <mergeCell ref="G4:H4"/>
    <mergeCell ref="I11:K11"/>
    <mergeCell ref="F8"/>
    <mergeCell ref="C12"/>
    <mergeCell ref="H2"/>
    <mergeCell ref="A13:B13"/>
    <mergeCell ref="B2:D2"/>
  </mergeCells>
  <conditionalFormatting sqref="E5:E13">
    <cfRule type="expression" priority="20" dxfId="5" stopIfTrue="1">
      <formula>AND(ISNUMBER($E5),ABS($E5)&gt;0.001)</formula>
    </cfRule>
  </conditionalFormatting>
  <conditionalFormatting sqref="D5:D12">
    <cfRule type="expression" priority="21" dxfId="5" stopIfTrue="1">
      <formula>AND(ISNUMBER($C5),ISNUMBER($D5),ABS($E5)&gt;0.001,$G5&lt;&gt;"已忽略尾差",$G5&lt;&gt;"非本批")</formula>
    </cfRule>
  </conditionalFormatting>
  <conditionalFormatting sqref="H17:H46">
    <cfRule type="expression" priority="22" dxfId="5" stopIfTrue="1">
      <formula>AND(ISNUMBER($G17),ISNUMBER($H17),ABS($G17-$H17)&gt;0.001,$J17&lt;&gt;"已忽略尾差",$J17&lt;&gt;"非本批")</formula>
    </cfRule>
  </conditionalFormatting>
  <conditionalFormatting sqref="I13:K13">
    <cfRule type="expression" priority="23" dxfId="5" stopIfTrue="1">
      <formula>AND(ISNUMBER($C13),ISNUMBER($G47),ABS($C13-$G47)&gt;0.001)</formula>
    </cfRule>
  </conditionalFormatting>
  <conditionalFormatting sqref="K47">
    <cfRule type="expression" priority="24" dxfId="5" stopIfTrue="1">
      <formula>AND($H47&lt;&gt;"",ABS($H47-$G47)&gt;0.001)</formula>
    </cfRule>
  </conditionalFormatting>
  <conditionalFormatting sqref="G5:H12">
    <cfRule type="expression" priority="25" dxfId="6" stopIfTrue="1">
      <formula>AND($D5&lt;&gt;"",$G5="")</formula>
    </cfRule>
    <cfRule type="expression" priority="26" dxfId="7" stopIfTrue="1">
      <formula>$G5="已核销"</formula>
    </cfRule>
    <cfRule type="expression" priority="27" dxfId="6" stopIfTrue="1">
      <formula>$G5="待凭证"</formula>
    </cfRule>
    <cfRule type="expression" priority="28" dxfId="5" stopIfTrue="1">
      <formula>$G5="待现金确认"</formula>
    </cfRule>
    <cfRule type="expression" priority="29" dxfId="5" stopIfTrue="1">
      <formula>$G5="异常待说明"</formula>
    </cfRule>
    <cfRule type="expression" priority="30" dxfId="8" stopIfTrue="1">
      <formula>$G5="非本批"</formula>
    </cfRule>
    <cfRule type="expression" priority="31" dxfId="9" stopIfTrue="1">
      <formula>$G5="已忽略尾差"</formula>
    </cfRule>
  </conditionalFormatting>
  <conditionalFormatting sqref="J17:J46">
    <cfRule type="expression" priority="32" dxfId="6" stopIfTrue="1">
      <formula>AND($H17&lt;&gt;"",$J17="")</formula>
    </cfRule>
    <cfRule type="expression" priority="33" dxfId="7" stopIfTrue="1">
      <formula>$J17="已核销"</formula>
    </cfRule>
    <cfRule type="expression" priority="34" dxfId="6" stopIfTrue="1">
      <formula>$J17="待凭证"</formula>
    </cfRule>
    <cfRule type="expression" priority="35" dxfId="5" stopIfTrue="1">
      <formula>$J17="待现金确认"</formula>
    </cfRule>
    <cfRule type="expression" priority="36" dxfId="5" stopIfTrue="1">
      <formula>$J17="异常待说明"</formula>
    </cfRule>
    <cfRule type="expression" priority="37" dxfId="8" stopIfTrue="1">
      <formula>$J17="非本批"</formula>
    </cfRule>
    <cfRule type="expression" priority="38" dxfId="9" stopIfTrue="1">
      <formula>$J17="已忽略尾差"</formula>
    </cfRule>
  </conditionalFormatting>
  <dataValidations count="4">
    <dataValidation sqref="B17:D46 C5:D12 F17:F46 H17:H46" showDropDown="0" showInputMessage="1" showErrorMessage="1" allowBlank="1" errorTitle="金额格式不正确" error="请输入不小于 0 的数值金额。" promptTitle="金额填写" prompt="输入数值；金额列支持小数，空白表示不适用。" type="decimal" operator="between">
      <formula1>0</formula1>
      <formula2>1000000000000</formula2>
    </dataValidation>
    <dataValidation sqref="E17:E46" showDropDown="0" showInputMessage="1" showErrorMessage="1" allowBlank="1" errorTitle="工资类别不在列表中" error="请选择下拉列表中的工资类别，或留空。" promptTitle="工资类别" prompt="无工资时留空。" type="list">
      <formula1>"基本工资,绩效工资,补发工资,奖金/补贴,其他"</formula1>
    </dataValidation>
    <dataValidation sqref="F5:F12 I17:I46" showDropDown="0" showInputMessage="1" showErrorMessage="1" allowBlank="1" errorTitle="发放方式不在列表中" error="请选择下拉列表中的发放方式，或留空。" promptTitle="发放方式" prompt="请选择实际采用的发放方式。" type="list">
      <formula1>"银行转账,微信,支付宝,现金,其他"</formula1>
    </dataValidation>
    <dataValidation sqref="G5:G12 J17:J46" showDropDown="0" showInputMessage="1" showErrorMessage="1" allowBlank="1" errorTitle="状态不在允许范围内" error="状态只能使用下拉列表中的六种值。" promptTitle="发放状态" prompt="请选择：已核销、待凭证、待现金确认、异常待说明、非本批、已忽略尾差。" type="list">
      <formula1>"已核销,待凭证,待现金确认,异常待说明,非本批,已忽略尾差"</formula1>
    </dataValidation>
  </dataValidations>
  <printOptions horizontalCentered="1" verticalCentered="0"/>
  <pageMargins left="0.7" right="0.7" top="0.75" bottom="0.75" header="0.3" footer="0.3"/>
  <pageSetup orientation="landscape" paperSize="9" fitToHeight="2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通用脱敏模板</dc:creator>
  <dc:title xmlns:dc="http://purl.org/dc/elements/1.1/">发放核对表</dc:title>
  <dc:description xmlns:dc="http://purl.org/dc/elements/1.1/">不含真实姓名、账户或业务数据的可复用模板</dc:description>
  <dc:subject xmlns:dc="http://purl.org/dc/elements/1.1/">通用发放核对</dc:subject>
  <dcterms:created xmlns:dcterms="http://purl.org/dc/terms/" xmlns:xsi="http://www.w3.org/2001/XMLSchema-instance" xsi:type="dcterms:W3CDTF">2026-08-21T08:48:32Z</dcterms:created>
  <dcterms:modified xmlns:dcterms="http://purl.org/dc/terms/" xmlns:xsi="http://www.w3.org/2001/XMLSchema-instance" xsi:type="dcterms:W3CDTF">2026-08-21T09:19:40Z</dcterms:modified>
  <cp:lastModifiedBy>通用脱敏模板</cp:lastModifiedBy>
  <cp:category>模板</cp:category>
  <cp:keywords>脱敏模板,发放核对</cp:keywords>
</cp:coreProperties>
</file>